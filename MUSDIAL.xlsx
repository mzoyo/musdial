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<sst xmlns="http://schemas.openxmlformats.org/spreadsheetml/2006/main" count="207" uniqueCount="39">
  <si>
    <t xml:space="preserve"> </t>
  </si>
  <si>
    <t>Mudial</t>
  </si>
  <si>
    <t>Grupo A</t>
  </si>
  <si>
    <t>Partidas</t>
  </si>
  <si>
    <t>PG</t>
  </si>
  <si>
    <t>PP</t>
  </si>
  <si>
    <t>JG</t>
  </si>
  <si>
    <t>JP</t>
  </si>
  <si>
    <t>DIF.JUEGOS</t>
  </si>
  <si>
    <t>Puntos</t>
  </si>
  <si>
    <t>Grupo B</t>
  </si>
  <si>
    <t>Grupo C</t>
  </si>
  <si>
    <t>Grupo D</t>
  </si>
  <si>
    <t>Grupo E</t>
  </si>
  <si>
    <t>Bambel-Mora</t>
  </si>
  <si>
    <t>Richi-Cuchu</t>
  </si>
  <si>
    <t>Felipe-Eusebio</t>
  </si>
  <si>
    <t>Chimba-Mora</t>
  </si>
  <si>
    <t>Saul-Diego</t>
  </si>
  <si>
    <t>Fano-Prilly</t>
  </si>
  <si>
    <t>Nule-Benito</t>
  </si>
  <si>
    <t>Isma-Juanillo</t>
  </si>
  <si>
    <t>Sece-Guti</t>
  </si>
  <si>
    <t>Calorro-Higinio</t>
  </si>
  <si>
    <t>Carlos-Use</t>
  </si>
  <si>
    <t>Vindel-Pastor</t>
  </si>
  <si>
    <t>Joselu-Seto</t>
  </si>
  <si>
    <t>Domingo- J.Miguel</t>
  </si>
  <si>
    <t>Luis-Angel</t>
  </si>
  <si>
    <t>Cañamon-Cañamin</t>
  </si>
  <si>
    <t>Los nenes</t>
  </si>
  <si>
    <t>Isay-Trigo</t>
  </si>
  <si>
    <t>Pichon-J.Carlos</t>
  </si>
  <si>
    <t>Ruben-Coco</t>
  </si>
  <si>
    <t>Jaro-Toñin</t>
  </si>
  <si>
    <t>Parra-Laura</t>
  </si>
  <si>
    <t>Sonia-Kayo</t>
  </si>
  <si>
    <t>Felix-Peris</t>
  </si>
  <si>
    <t>Isra-Enrique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</si>
</sst>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  <font>
      <b/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4" numFmtId="0" xfId="0" applyAlignment="1" applyBorder="1" applyFont="1">
      <alignment horizontal="center"/>
    </xf>
    <xf borderId="12" fillId="0" fontId="2" numFmtId="0" xfId="0" applyBorder="1" applyFont="1"/>
    <xf borderId="10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4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1" fillId="0" fontId="5" numFmtId="0" xfId="0" applyAlignment="1" applyBorder="1" applyFont="1">
      <alignment horizontal="center" readingOrder="0"/>
    </xf>
    <xf borderId="0" fillId="0" fontId="2" numFmtId="0" xfId="0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7" fillId="0" fontId="4" numFmtId="0" xfId="0" applyAlignment="1" applyBorder="1" applyFont="1">
      <alignment horizontal="center" readingOrder="0"/>
    </xf>
    <xf borderId="15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0" fillId="0" fontId="2" numFmtId="0" xfId="0" applyAlignment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13"/>
    <col customWidth="1" min="3" max="3" width="7.13"/>
    <col customWidth="1" min="4" max="4" width="14.0"/>
    <col customWidth="1" min="5" max="5" width="7.13"/>
    <col customWidth="1" min="6" max="6" width="17.38"/>
    <col customWidth="1" min="7" max="7" width="7.13"/>
    <col customWidth="1" min="8" max="8" width="11.75"/>
    <col customWidth="1" min="9" max="9" width="7.13"/>
    <col customWidth="1" min="10" max="10" width="18.38"/>
    <col customWidth="1" min="11" max="11" width="7.13"/>
    <col customWidth="1" min="12" max="12" width="10.63"/>
    <col customWidth="1" min="13" max="13" width="18.38"/>
    <col customWidth="1" min="14" max="15" width="10.63"/>
    <col customWidth="1" min="16" max="16" width="18.38"/>
    <col customWidth="1" min="17" max="17" width="10.63"/>
    <col customWidth="1" min="18" max="18" width="18.38"/>
    <col customWidth="1" min="19" max="26" width="10.63"/>
  </cols>
  <sheetData>
    <row r="1">
      <c r="C1" s="1" t="s">
        <v>0</v>
      </c>
    </row>
    <row r="2"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M2" s="2" t="s">
        <v>2</v>
      </c>
      <c r="N2" s="3"/>
      <c r="O2" s="3"/>
      <c r="P2" s="4"/>
      <c r="R2" s="5" t="s">
        <v>2</v>
      </c>
      <c r="S2" s="6" t="s">
        <v>3</v>
      </c>
      <c r="T2" s="7" t="s">
        <v>4</v>
      </c>
      <c r="U2" s="7" t="s">
        <v>5</v>
      </c>
      <c r="V2" s="7" t="s">
        <v>6</v>
      </c>
      <c r="W2" s="7" t="s">
        <v>7</v>
      </c>
      <c r="X2" s="7" t="s">
        <v>8</v>
      </c>
      <c r="Y2" s="8" t="s">
        <v>9</v>
      </c>
    </row>
    <row r="3">
      <c r="B3" s="2" t="s">
        <v>2</v>
      </c>
      <c r="C3" s="9" t="s">
        <v>9</v>
      </c>
      <c r="D3" s="2" t="s">
        <v>10</v>
      </c>
      <c r="E3" s="9" t="s">
        <v>9</v>
      </c>
      <c r="F3" s="2" t="s">
        <v>11</v>
      </c>
      <c r="G3" s="9" t="s">
        <v>9</v>
      </c>
      <c r="H3" s="2" t="s">
        <v>12</v>
      </c>
      <c r="I3" s="9" t="s">
        <v>9</v>
      </c>
      <c r="J3" s="2" t="s">
        <v>13</v>
      </c>
      <c r="K3" s="9" t="s">
        <v>9</v>
      </c>
      <c r="M3" s="10" t="s">
        <v>14</v>
      </c>
      <c r="N3" s="11"/>
      <c r="O3" s="11"/>
      <c r="P3" s="12" t="s">
        <v>15</v>
      </c>
      <c r="R3" s="13" t="s">
        <v>14</v>
      </c>
      <c r="S3" s="14">
        <f t="shared" ref="S3:S7" si="1">+T3+U3</f>
        <v>0</v>
      </c>
      <c r="T3" s="11">
        <v>0.0</v>
      </c>
      <c r="U3" s="11">
        <v>0.0</v>
      </c>
      <c r="V3" s="11">
        <v>0.0</v>
      </c>
      <c r="W3" s="11">
        <v>0.0</v>
      </c>
      <c r="X3" s="11">
        <f t="shared" ref="X3:X7" si="2">V3-W3</f>
        <v>0</v>
      </c>
      <c r="Y3" s="15">
        <f t="shared" ref="Y3:Y7" si="3">T3*2</f>
        <v>0</v>
      </c>
    </row>
    <row r="4">
      <c r="B4" s="16" t="s">
        <v>14</v>
      </c>
      <c r="C4" s="15">
        <f t="shared" ref="C4:C8" si="4">Y3</f>
        <v>0</v>
      </c>
      <c r="D4" s="16" t="s">
        <v>16</v>
      </c>
      <c r="E4" s="15">
        <f t="shared" ref="E4:E8" si="5">Y10</f>
        <v>0</v>
      </c>
      <c r="F4" s="16" t="s">
        <v>17</v>
      </c>
      <c r="G4" s="15">
        <f t="shared" ref="G4:G8" si="6">Y17</f>
        <v>0</v>
      </c>
      <c r="H4" s="16" t="s">
        <v>18</v>
      </c>
      <c r="I4" s="15">
        <f t="shared" ref="I4:I8" si="7">Y25</f>
        <v>0</v>
      </c>
      <c r="J4" s="16" t="s">
        <v>19</v>
      </c>
      <c r="K4" s="15">
        <f t="shared" ref="K4:K8" si="8">Y32</f>
        <v>0</v>
      </c>
      <c r="M4" s="17" t="s">
        <v>20</v>
      </c>
      <c r="N4" s="18"/>
      <c r="O4" s="18"/>
      <c r="P4" s="19" t="s">
        <v>21</v>
      </c>
      <c r="R4" s="20" t="s">
        <v>15</v>
      </c>
      <c r="S4" s="14">
        <f t="shared" si="1"/>
        <v>0</v>
      </c>
      <c r="T4" s="11">
        <v>0.0</v>
      </c>
      <c r="U4" s="11">
        <v>0.0</v>
      </c>
      <c r="V4" s="11">
        <v>0.0</v>
      </c>
      <c r="W4" s="11">
        <v>0.0</v>
      </c>
      <c r="X4" s="11">
        <f t="shared" si="2"/>
        <v>0</v>
      </c>
      <c r="Y4" s="15">
        <f t="shared" si="3"/>
        <v>0</v>
      </c>
    </row>
    <row r="5">
      <c r="B5" s="21" t="s">
        <v>15</v>
      </c>
      <c r="C5" s="15">
        <f t="shared" si="4"/>
        <v>0</v>
      </c>
      <c r="D5" s="21" t="s">
        <v>22</v>
      </c>
      <c r="E5" s="15">
        <f t="shared" si="5"/>
        <v>0</v>
      </c>
      <c r="F5" s="21" t="s">
        <v>23</v>
      </c>
      <c r="G5" s="15">
        <f t="shared" si="6"/>
        <v>0</v>
      </c>
      <c r="H5" s="21" t="s">
        <v>24</v>
      </c>
      <c r="I5" s="15">
        <f t="shared" si="7"/>
        <v>0</v>
      </c>
      <c r="J5" s="21" t="s">
        <v>25</v>
      </c>
      <c r="K5" s="15">
        <f t="shared" si="8"/>
        <v>0</v>
      </c>
      <c r="M5" s="17" t="s">
        <v>14</v>
      </c>
      <c r="N5" s="18"/>
      <c r="O5" s="18"/>
      <c r="P5" s="19" t="s">
        <v>20</v>
      </c>
      <c r="R5" s="20" t="s">
        <v>20</v>
      </c>
      <c r="S5" s="14">
        <f t="shared" si="1"/>
        <v>0</v>
      </c>
      <c r="T5" s="11">
        <v>0.0</v>
      </c>
      <c r="U5" s="11">
        <v>0.0</v>
      </c>
      <c r="V5" s="11">
        <v>0.0</v>
      </c>
      <c r="W5" s="11">
        <v>0.0</v>
      </c>
      <c r="X5" s="11">
        <f t="shared" si="2"/>
        <v>0</v>
      </c>
      <c r="Y5" s="15">
        <f t="shared" si="3"/>
        <v>0</v>
      </c>
    </row>
    <row r="6">
      <c r="B6" s="21" t="s">
        <v>20</v>
      </c>
      <c r="C6" s="15">
        <f t="shared" si="4"/>
        <v>0</v>
      </c>
      <c r="D6" s="21" t="s">
        <v>26</v>
      </c>
      <c r="E6" s="15">
        <f t="shared" si="5"/>
        <v>0</v>
      </c>
      <c r="F6" s="21" t="s">
        <v>27</v>
      </c>
      <c r="G6" s="15">
        <f t="shared" si="6"/>
        <v>0</v>
      </c>
      <c r="H6" s="21" t="s">
        <v>28</v>
      </c>
      <c r="I6" s="15">
        <f t="shared" si="7"/>
        <v>0</v>
      </c>
      <c r="J6" s="21" t="s">
        <v>29</v>
      </c>
      <c r="K6" s="15">
        <f t="shared" si="8"/>
        <v>0</v>
      </c>
      <c r="M6" s="17" t="s">
        <v>15</v>
      </c>
      <c r="N6" s="18"/>
      <c r="O6" s="18"/>
      <c r="P6" s="19" t="s">
        <v>30</v>
      </c>
      <c r="R6" s="20" t="s">
        <v>21</v>
      </c>
      <c r="S6" s="14">
        <f t="shared" si="1"/>
        <v>0</v>
      </c>
      <c r="T6" s="11">
        <v>0.0</v>
      </c>
      <c r="U6" s="11">
        <v>0.0</v>
      </c>
      <c r="V6" s="11">
        <v>0.0</v>
      </c>
      <c r="W6" s="11">
        <v>0.0</v>
      </c>
      <c r="X6" s="11">
        <f t="shared" si="2"/>
        <v>0</v>
      </c>
      <c r="Y6" s="15">
        <f t="shared" si="3"/>
        <v>0</v>
      </c>
    </row>
    <row r="7">
      <c r="B7" s="21" t="s">
        <v>21</v>
      </c>
      <c r="C7" s="15">
        <f t="shared" si="4"/>
        <v>0</v>
      </c>
      <c r="D7" s="21" t="s">
        <v>31</v>
      </c>
      <c r="E7" s="15">
        <f t="shared" si="5"/>
        <v>0</v>
      </c>
      <c r="F7" s="21" t="s">
        <v>32</v>
      </c>
      <c r="G7" s="15">
        <f t="shared" si="6"/>
        <v>0</v>
      </c>
      <c r="H7" s="21" t="s">
        <v>33</v>
      </c>
      <c r="I7" s="15">
        <f t="shared" si="7"/>
        <v>0</v>
      </c>
      <c r="J7" s="21" t="s">
        <v>34</v>
      </c>
      <c r="K7" s="15">
        <f t="shared" si="8"/>
        <v>0</v>
      </c>
      <c r="M7" s="17" t="s">
        <v>14</v>
      </c>
      <c r="N7" s="18"/>
      <c r="O7" s="18"/>
      <c r="P7" s="19" t="s">
        <v>21</v>
      </c>
      <c r="R7" s="22" t="s">
        <v>30</v>
      </c>
      <c r="S7" s="23">
        <f t="shared" si="1"/>
        <v>0</v>
      </c>
      <c r="T7" s="24">
        <v>0.0</v>
      </c>
      <c r="U7" s="24">
        <v>0.0</v>
      </c>
      <c r="V7" s="24">
        <v>0.0</v>
      </c>
      <c r="W7" s="24">
        <v>0.0</v>
      </c>
      <c r="X7" s="24">
        <f t="shared" si="2"/>
        <v>0</v>
      </c>
      <c r="Y7" s="25">
        <f t="shared" si="3"/>
        <v>0</v>
      </c>
    </row>
    <row r="8">
      <c r="B8" s="26" t="s">
        <v>30</v>
      </c>
      <c r="C8" s="25">
        <f t="shared" si="4"/>
        <v>0</v>
      </c>
      <c r="D8" s="27" t="s">
        <v>35</v>
      </c>
      <c r="E8" s="25">
        <f t="shared" si="5"/>
        <v>0</v>
      </c>
      <c r="F8" s="26" t="s">
        <v>36</v>
      </c>
      <c r="G8" s="25">
        <f t="shared" si="6"/>
        <v>0</v>
      </c>
      <c r="H8" s="26" t="s">
        <v>37</v>
      </c>
      <c r="I8" s="25">
        <f t="shared" si="7"/>
        <v>0</v>
      </c>
      <c r="J8" s="26" t="s">
        <v>38</v>
      </c>
      <c r="K8" s="25">
        <f t="shared" si="8"/>
        <v>0</v>
      </c>
      <c r="M8" s="17" t="s">
        <v>20</v>
      </c>
      <c r="N8" s="18"/>
      <c r="O8" s="18"/>
      <c r="P8" s="19" t="s">
        <v>30</v>
      </c>
      <c r="R8" s="28"/>
      <c r="S8" s="28"/>
      <c r="T8" s="28"/>
      <c r="U8" s="28"/>
      <c r="V8" s="28"/>
      <c r="W8" s="28"/>
      <c r="X8" s="28"/>
      <c r="Y8" s="28"/>
    </row>
    <row r="9">
      <c r="M9" s="17" t="s">
        <v>14</v>
      </c>
      <c r="N9" s="18"/>
      <c r="O9" s="18"/>
      <c r="P9" s="19" t="s">
        <v>30</v>
      </c>
      <c r="R9" s="5" t="s">
        <v>10</v>
      </c>
      <c r="S9" s="6" t="s">
        <v>3</v>
      </c>
      <c r="T9" s="7" t="s">
        <v>4</v>
      </c>
      <c r="U9" s="7" t="s">
        <v>5</v>
      </c>
      <c r="V9" s="7" t="s">
        <v>6</v>
      </c>
      <c r="W9" s="7" t="s">
        <v>7</v>
      </c>
      <c r="X9" s="7" t="s">
        <v>8</v>
      </c>
      <c r="Y9" s="8" t="s">
        <v>9</v>
      </c>
    </row>
    <row r="10">
      <c r="M10" s="17" t="s">
        <v>21</v>
      </c>
      <c r="N10" s="18"/>
      <c r="O10" s="18"/>
      <c r="P10" s="19" t="s">
        <v>15</v>
      </c>
      <c r="R10" s="13" t="s">
        <v>16</v>
      </c>
      <c r="S10" s="14">
        <f t="shared" ref="S10:S14" si="9">+T10+U10</f>
        <v>0</v>
      </c>
      <c r="T10" s="11">
        <v>0.0</v>
      </c>
      <c r="U10" s="11">
        <v>0.0</v>
      </c>
      <c r="V10" s="11">
        <v>0.0</v>
      </c>
      <c r="W10" s="11">
        <v>0.0</v>
      </c>
      <c r="X10" s="11">
        <f t="shared" ref="X10:X14" si="10">V10-W10</f>
        <v>0</v>
      </c>
      <c r="Y10" s="15">
        <f t="shared" ref="Y10:Y14" si="11">T10*2</f>
        <v>0</v>
      </c>
    </row>
    <row r="11">
      <c r="M11" s="17" t="s">
        <v>15</v>
      </c>
      <c r="N11" s="18"/>
      <c r="O11" s="18"/>
      <c r="P11" s="19" t="s">
        <v>20</v>
      </c>
      <c r="R11" s="20" t="s">
        <v>22</v>
      </c>
      <c r="S11" s="14">
        <f t="shared" si="9"/>
        <v>0</v>
      </c>
      <c r="T11" s="11">
        <v>0.0</v>
      </c>
      <c r="U11" s="11">
        <v>0.0</v>
      </c>
      <c r="V11" s="11">
        <v>0.0</v>
      </c>
      <c r="W11" s="11">
        <v>0.0</v>
      </c>
      <c r="X11" s="11">
        <f t="shared" si="10"/>
        <v>0</v>
      </c>
      <c r="Y11" s="15">
        <f t="shared" si="11"/>
        <v>0</v>
      </c>
    </row>
    <row r="12">
      <c r="M12" s="29" t="s">
        <v>21</v>
      </c>
      <c r="N12" s="30"/>
      <c r="O12" s="30"/>
      <c r="P12" s="31" t="s">
        <v>30</v>
      </c>
      <c r="R12" s="20" t="s">
        <v>26</v>
      </c>
      <c r="S12" s="14">
        <f t="shared" si="9"/>
        <v>0</v>
      </c>
      <c r="T12" s="11">
        <v>0.0</v>
      </c>
      <c r="U12" s="11">
        <v>0.0</v>
      </c>
      <c r="V12" s="11">
        <v>0.0</v>
      </c>
      <c r="W12" s="11">
        <v>0.0</v>
      </c>
      <c r="X12" s="11">
        <f t="shared" si="10"/>
        <v>0</v>
      </c>
      <c r="Y12" s="15">
        <f t="shared" si="11"/>
        <v>0</v>
      </c>
    </row>
    <row r="13">
      <c r="R13" s="20" t="s">
        <v>31</v>
      </c>
      <c r="S13" s="14">
        <f t="shared" si="9"/>
        <v>0</v>
      </c>
      <c r="T13" s="11">
        <v>0.0</v>
      </c>
      <c r="U13" s="11">
        <v>0.0</v>
      </c>
      <c r="V13" s="11">
        <v>0.0</v>
      </c>
      <c r="W13" s="11">
        <v>0.0</v>
      </c>
      <c r="X13" s="11">
        <f t="shared" si="10"/>
        <v>0</v>
      </c>
      <c r="Y13" s="15">
        <f t="shared" si="11"/>
        <v>0</v>
      </c>
    </row>
    <row r="14">
      <c r="M14" s="2" t="s">
        <v>10</v>
      </c>
      <c r="N14" s="3"/>
      <c r="O14" s="3"/>
      <c r="P14" s="4"/>
      <c r="R14" s="32" t="s">
        <v>35</v>
      </c>
      <c r="S14" s="23">
        <f t="shared" si="9"/>
        <v>0</v>
      </c>
      <c r="T14" s="24">
        <v>0.0</v>
      </c>
      <c r="U14" s="24">
        <v>0.0</v>
      </c>
      <c r="V14" s="24">
        <v>0.0</v>
      </c>
      <c r="W14" s="24">
        <v>0.0</v>
      </c>
      <c r="X14" s="24">
        <f t="shared" si="10"/>
        <v>0</v>
      </c>
      <c r="Y14" s="25">
        <f t="shared" si="11"/>
        <v>0</v>
      </c>
    </row>
    <row r="15">
      <c r="M15" s="10" t="s">
        <v>16</v>
      </c>
      <c r="N15" s="11"/>
      <c r="O15" s="11"/>
      <c r="P15" s="12" t="s">
        <v>22</v>
      </c>
      <c r="R15" s="28"/>
      <c r="S15" s="28"/>
      <c r="T15" s="28"/>
      <c r="U15" s="28"/>
      <c r="V15" s="28"/>
      <c r="W15" s="28"/>
      <c r="X15" s="28"/>
      <c r="Y15" s="28"/>
    </row>
    <row r="16">
      <c r="M16" s="17" t="s">
        <v>26</v>
      </c>
      <c r="N16" s="18"/>
      <c r="O16" s="18"/>
      <c r="P16" s="19" t="s">
        <v>31</v>
      </c>
      <c r="R16" s="5" t="s">
        <v>11</v>
      </c>
      <c r="S16" s="6" t="s">
        <v>3</v>
      </c>
      <c r="T16" s="7" t="s">
        <v>4</v>
      </c>
      <c r="U16" s="7" t="s">
        <v>5</v>
      </c>
      <c r="V16" s="7" t="s">
        <v>6</v>
      </c>
      <c r="W16" s="7" t="s">
        <v>7</v>
      </c>
      <c r="X16" s="7" t="s">
        <v>8</v>
      </c>
      <c r="Y16" s="8" t="s">
        <v>9</v>
      </c>
    </row>
    <row r="17">
      <c r="M17" s="17" t="s">
        <v>16</v>
      </c>
      <c r="N17" s="18"/>
      <c r="O17" s="18"/>
      <c r="P17" s="19" t="s">
        <v>26</v>
      </c>
      <c r="R17" s="13" t="s">
        <v>17</v>
      </c>
      <c r="S17" s="14">
        <f t="shared" ref="S17:S21" si="12">+T17+U17</f>
        <v>0</v>
      </c>
      <c r="T17" s="11">
        <v>0.0</v>
      </c>
      <c r="U17" s="11">
        <v>0.0</v>
      </c>
      <c r="V17" s="11">
        <v>0.0</v>
      </c>
      <c r="W17" s="11">
        <v>0.0</v>
      </c>
      <c r="X17" s="11">
        <f t="shared" ref="X17:X21" si="13">V17-W17</f>
        <v>0</v>
      </c>
      <c r="Y17" s="15">
        <f t="shared" ref="Y17:Y21" si="14">T17*2</f>
        <v>0</v>
      </c>
    </row>
    <row r="18">
      <c r="M18" s="17" t="s">
        <v>22</v>
      </c>
      <c r="N18" s="18"/>
      <c r="O18" s="18"/>
      <c r="P18" s="33" t="s">
        <v>35</v>
      </c>
      <c r="R18" s="20" t="s">
        <v>23</v>
      </c>
      <c r="S18" s="14">
        <f t="shared" si="12"/>
        <v>0</v>
      </c>
      <c r="T18" s="11">
        <v>0.0</v>
      </c>
      <c r="U18" s="11">
        <v>0.0</v>
      </c>
      <c r="V18" s="11">
        <v>0.0</v>
      </c>
      <c r="W18" s="11">
        <v>0.0</v>
      </c>
      <c r="X18" s="11">
        <f t="shared" si="13"/>
        <v>0</v>
      </c>
      <c r="Y18" s="15">
        <f t="shared" si="14"/>
        <v>0</v>
      </c>
    </row>
    <row r="19">
      <c r="M19" s="17" t="s">
        <v>16</v>
      </c>
      <c r="N19" s="18"/>
      <c r="O19" s="18"/>
      <c r="P19" s="19" t="s">
        <v>31</v>
      </c>
      <c r="R19" s="20" t="s">
        <v>27</v>
      </c>
      <c r="S19" s="14">
        <f t="shared" si="12"/>
        <v>0</v>
      </c>
      <c r="T19" s="11">
        <v>0.0</v>
      </c>
      <c r="U19" s="11">
        <v>0.0</v>
      </c>
      <c r="V19" s="11">
        <v>0.0</v>
      </c>
      <c r="W19" s="11">
        <v>0.0</v>
      </c>
      <c r="X19" s="11">
        <f t="shared" si="13"/>
        <v>0</v>
      </c>
      <c r="Y19" s="15">
        <f t="shared" si="14"/>
        <v>0</v>
      </c>
    </row>
    <row r="20">
      <c r="M20" s="17" t="s">
        <v>26</v>
      </c>
      <c r="N20" s="18"/>
      <c r="O20" s="18"/>
      <c r="P20" s="33" t="s">
        <v>35</v>
      </c>
      <c r="R20" s="20" t="s">
        <v>32</v>
      </c>
      <c r="S20" s="14">
        <f t="shared" si="12"/>
        <v>0</v>
      </c>
      <c r="T20" s="11">
        <v>0.0</v>
      </c>
      <c r="U20" s="11">
        <v>0.0</v>
      </c>
      <c r="V20" s="11">
        <v>0.0</v>
      </c>
      <c r="W20" s="11">
        <v>0.0</v>
      </c>
      <c r="X20" s="11">
        <f t="shared" si="13"/>
        <v>0</v>
      </c>
      <c r="Y20" s="15">
        <f t="shared" si="14"/>
        <v>0</v>
      </c>
    </row>
    <row r="21" ht="15.75" customHeight="1">
      <c r="M21" s="17" t="s">
        <v>16</v>
      </c>
      <c r="N21" s="18"/>
      <c r="O21" s="18"/>
      <c r="P21" s="33" t="s">
        <v>35</v>
      </c>
      <c r="R21" s="22" t="s">
        <v>36</v>
      </c>
      <c r="S21" s="23">
        <f t="shared" si="12"/>
        <v>0</v>
      </c>
      <c r="T21" s="24">
        <v>0.0</v>
      </c>
      <c r="U21" s="24">
        <v>0.0</v>
      </c>
      <c r="V21" s="24">
        <v>0.0</v>
      </c>
      <c r="W21" s="24">
        <v>0.0</v>
      </c>
      <c r="X21" s="24">
        <f t="shared" si="13"/>
        <v>0</v>
      </c>
      <c r="Y21" s="25">
        <f t="shared" si="14"/>
        <v>0</v>
      </c>
    </row>
    <row r="22" ht="15.75" customHeight="1">
      <c r="M22" s="17" t="s">
        <v>31</v>
      </c>
      <c r="N22" s="18"/>
      <c r="O22" s="18"/>
      <c r="P22" s="19" t="s">
        <v>22</v>
      </c>
      <c r="R22" s="28"/>
      <c r="S22" s="28"/>
      <c r="T22" s="28"/>
      <c r="U22" s="28"/>
      <c r="V22" s="28"/>
      <c r="W22" s="28"/>
      <c r="X22" s="28"/>
      <c r="Y22" s="28"/>
    </row>
    <row r="23" ht="15.75" customHeight="1">
      <c r="M23" s="17" t="s">
        <v>22</v>
      </c>
      <c r="N23" s="18"/>
      <c r="O23" s="18"/>
      <c r="P23" s="19" t="s">
        <v>26</v>
      </c>
      <c r="R23" s="28"/>
      <c r="S23" s="28"/>
      <c r="T23" s="28"/>
      <c r="U23" s="28"/>
      <c r="V23" s="28"/>
      <c r="W23" s="28"/>
      <c r="X23" s="28"/>
      <c r="Y23" s="28"/>
    </row>
    <row r="24" ht="15.75" customHeight="1">
      <c r="M24" s="29" t="s">
        <v>31</v>
      </c>
      <c r="N24" s="30"/>
      <c r="O24" s="30"/>
      <c r="P24" s="34" t="s">
        <v>35</v>
      </c>
      <c r="R24" s="5" t="s">
        <v>12</v>
      </c>
      <c r="S24" s="6" t="s">
        <v>3</v>
      </c>
      <c r="T24" s="7" t="s">
        <v>4</v>
      </c>
      <c r="U24" s="7" t="s">
        <v>5</v>
      </c>
      <c r="V24" s="7" t="s">
        <v>6</v>
      </c>
      <c r="W24" s="7" t="s">
        <v>7</v>
      </c>
      <c r="X24" s="7" t="s">
        <v>8</v>
      </c>
      <c r="Y24" s="8" t="s">
        <v>9</v>
      </c>
    </row>
    <row r="25" ht="15.75" customHeight="1">
      <c r="R25" s="13" t="s">
        <v>18</v>
      </c>
      <c r="S25" s="14">
        <f t="shared" ref="S25:S29" si="15">+T25+U25</f>
        <v>0</v>
      </c>
      <c r="T25" s="11">
        <v>0.0</v>
      </c>
      <c r="U25" s="11">
        <v>0.0</v>
      </c>
      <c r="V25" s="11">
        <v>0.0</v>
      </c>
      <c r="W25" s="11">
        <v>0.0</v>
      </c>
      <c r="X25" s="11">
        <f t="shared" ref="X25:X29" si="16">V25-W25</f>
        <v>0</v>
      </c>
      <c r="Y25" s="15">
        <f t="shared" ref="Y25:Y29" si="17">T25*2</f>
        <v>0</v>
      </c>
    </row>
    <row r="26" ht="15.75" customHeight="1">
      <c r="M26" s="2" t="s">
        <v>11</v>
      </c>
      <c r="N26" s="3"/>
      <c r="O26" s="3"/>
      <c r="P26" s="4"/>
      <c r="R26" s="20" t="s">
        <v>24</v>
      </c>
      <c r="S26" s="14">
        <f t="shared" si="15"/>
        <v>0</v>
      </c>
      <c r="T26" s="11">
        <v>0.0</v>
      </c>
      <c r="U26" s="11">
        <v>0.0</v>
      </c>
      <c r="V26" s="11">
        <v>0.0</v>
      </c>
      <c r="W26" s="11">
        <v>0.0</v>
      </c>
      <c r="X26" s="11">
        <f t="shared" si="16"/>
        <v>0</v>
      </c>
      <c r="Y26" s="15">
        <f t="shared" si="17"/>
        <v>0</v>
      </c>
    </row>
    <row r="27" ht="15.75" customHeight="1">
      <c r="M27" s="10" t="s">
        <v>17</v>
      </c>
      <c r="N27" s="11"/>
      <c r="O27" s="11"/>
      <c r="P27" s="12" t="s">
        <v>23</v>
      </c>
      <c r="R27" s="20" t="s">
        <v>28</v>
      </c>
      <c r="S27" s="14">
        <f t="shared" si="15"/>
        <v>0</v>
      </c>
      <c r="T27" s="11">
        <v>0.0</v>
      </c>
      <c r="U27" s="11">
        <v>0.0</v>
      </c>
      <c r="V27" s="11">
        <v>0.0</v>
      </c>
      <c r="W27" s="11">
        <v>0.0</v>
      </c>
      <c r="X27" s="11">
        <f t="shared" si="16"/>
        <v>0</v>
      </c>
      <c r="Y27" s="15">
        <f t="shared" si="17"/>
        <v>0</v>
      </c>
    </row>
    <row r="28" ht="15.75" customHeight="1">
      <c r="M28" s="17" t="s">
        <v>27</v>
      </c>
      <c r="N28" s="18"/>
      <c r="O28" s="18"/>
      <c r="P28" s="19" t="s">
        <v>32</v>
      </c>
      <c r="R28" s="20" t="s">
        <v>33</v>
      </c>
      <c r="S28" s="14">
        <f t="shared" si="15"/>
        <v>0</v>
      </c>
      <c r="T28" s="11">
        <v>0.0</v>
      </c>
      <c r="U28" s="11">
        <v>0.0</v>
      </c>
      <c r="V28" s="11">
        <v>0.0</v>
      </c>
      <c r="W28" s="11">
        <v>0.0</v>
      </c>
      <c r="X28" s="11">
        <f t="shared" si="16"/>
        <v>0</v>
      </c>
      <c r="Y28" s="15">
        <f t="shared" si="17"/>
        <v>0</v>
      </c>
    </row>
    <row r="29" ht="15.75" customHeight="1">
      <c r="M29" s="17" t="s">
        <v>17</v>
      </c>
      <c r="N29" s="18"/>
      <c r="O29" s="18"/>
      <c r="P29" s="19" t="s">
        <v>27</v>
      </c>
      <c r="R29" s="22" t="s">
        <v>37</v>
      </c>
      <c r="S29" s="23">
        <f t="shared" si="15"/>
        <v>0</v>
      </c>
      <c r="T29" s="24">
        <v>0.0</v>
      </c>
      <c r="U29" s="24">
        <v>0.0</v>
      </c>
      <c r="V29" s="24">
        <v>0.0</v>
      </c>
      <c r="W29" s="24">
        <v>0.0</v>
      </c>
      <c r="X29" s="24">
        <f t="shared" si="16"/>
        <v>0</v>
      </c>
      <c r="Y29" s="25">
        <f t="shared" si="17"/>
        <v>0</v>
      </c>
    </row>
    <row r="30" ht="15.75" customHeight="1">
      <c r="B30" s="35"/>
      <c r="M30" s="17" t="s">
        <v>23</v>
      </c>
      <c r="N30" s="18"/>
      <c r="O30" s="18"/>
      <c r="P30" s="19" t="s">
        <v>36</v>
      </c>
      <c r="R30" s="28"/>
      <c r="S30" s="28"/>
      <c r="T30" s="28"/>
      <c r="U30" s="28"/>
      <c r="V30" s="28"/>
      <c r="W30" s="28"/>
      <c r="X30" s="28"/>
      <c r="Y30" s="28"/>
    </row>
    <row r="31" ht="15.75" customHeight="1">
      <c r="B31" s="35"/>
      <c r="M31" s="17" t="s">
        <v>17</v>
      </c>
      <c r="N31" s="18"/>
      <c r="O31" s="18"/>
      <c r="P31" s="19" t="s">
        <v>32</v>
      </c>
      <c r="R31" s="5" t="s">
        <v>13</v>
      </c>
      <c r="S31" s="6" t="s">
        <v>3</v>
      </c>
      <c r="T31" s="7" t="s">
        <v>4</v>
      </c>
      <c r="U31" s="7" t="s">
        <v>5</v>
      </c>
      <c r="V31" s="7" t="s">
        <v>6</v>
      </c>
      <c r="W31" s="7" t="s">
        <v>7</v>
      </c>
      <c r="X31" s="7" t="s">
        <v>8</v>
      </c>
      <c r="Y31" s="8" t="s">
        <v>9</v>
      </c>
    </row>
    <row r="32" ht="15.75" customHeight="1">
      <c r="B32" s="35"/>
      <c r="M32" s="17" t="s">
        <v>27</v>
      </c>
      <c r="N32" s="18"/>
      <c r="O32" s="18"/>
      <c r="P32" s="19" t="s">
        <v>36</v>
      </c>
      <c r="R32" s="13" t="s">
        <v>19</v>
      </c>
      <c r="S32" s="14">
        <f t="shared" ref="S32:S36" si="18">+T32+U32</f>
        <v>0</v>
      </c>
      <c r="T32" s="11">
        <v>0.0</v>
      </c>
      <c r="U32" s="11">
        <v>0.0</v>
      </c>
      <c r="V32" s="11">
        <v>0.0</v>
      </c>
      <c r="W32" s="11">
        <v>0.0</v>
      </c>
      <c r="X32" s="11">
        <f t="shared" ref="X32:X36" si="19">V32-W32</f>
        <v>0</v>
      </c>
      <c r="Y32" s="15">
        <f t="shared" ref="Y32:Y36" si="20">T32*2</f>
        <v>0</v>
      </c>
    </row>
    <row r="33" ht="15.75" customHeight="1">
      <c r="M33" s="17" t="s">
        <v>17</v>
      </c>
      <c r="N33" s="18"/>
      <c r="O33" s="18"/>
      <c r="P33" s="19" t="s">
        <v>36</v>
      </c>
      <c r="R33" s="20" t="s">
        <v>25</v>
      </c>
      <c r="S33" s="14">
        <f t="shared" si="18"/>
        <v>0</v>
      </c>
      <c r="T33" s="11">
        <v>0.0</v>
      </c>
      <c r="U33" s="11">
        <v>0.0</v>
      </c>
      <c r="V33" s="11">
        <v>0.0</v>
      </c>
      <c r="W33" s="11">
        <v>0.0</v>
      </c>
      <c r="X33" s="11">
        <f t="shared" si="19"/>
        <v>0</v>
      </c>
      <c r="Y33" s="15">
        <f t="shared" si="20"/>
        <v>0</v>
      </c>
    </row>
    <row r="34" ht="15.75" customHeight="1">
      <c r="B34" s="36"/>
      <c r="M34" s="17" t="s">
        <v>32</v>
      </c>
      <c r="N34" s="18"/>
      <c r="O34" s="18"/>
      <c r="P34" s="19" t="s">
        <v>23</v>
      </c>
      <c r="R34" s="20" t="s">
        <v>29</v>
      </c>
      <c r="S34" s="14">
        <f t="shared" si="18"/>
        <v>0</v>
      </c>
      <c r="T34" s="11">
        <v>0.0</v>
      </c>
      <c r="U34" s="11">
        <v>0.0</v>
      </c>
      <c r="V34" s="11">
        <v>0.0</v>
      </c>
      <c r="W34" s="11">
        <v>0.0</v>
      </c>
      <c r="X34" s="11">
        <f t="shared" si="19"/>
        <v>0</v>
      </c>
      <c r="Y34" s="15">
        <f t="shared" si="20"/>
        <v>0</v>
      </c>
    </row>
    <row r="35" ht="15.75" customHeight="1">
      <c r="B35" s="35"/>
      <c r="M35" s="17" t="s">
        <v>23</v>
      </c>
      <c r="N35" s="18"/>
      <c r="O35" s="18"/>
      <c r="P35" s="19" t="s">
        <v>27</v>
      </c>
      <c r="R35" s="20" t="s">
        <v>34</v>
      </c>
      <c r="S35" s="14">
        <f t="shared" si="18"/>
        <v>0</v>
      </c>
      <c r="T35" s="11">
        <v>0.0</v>
      </c>
      <c r="U35" s="11">
        <v>0.0</v>
      </c>
      <c r="V35" s="11">
        <v>0.0</v>
      </c>
      <c r="W35" s="11">
        <v>0.0</v>
      </c>
      <c r="X35" s="11">
        <f t="shared" si="19"/>
        <v>0</v>
      </c>
      <c r="Y35" s="15">
        <f t="shared" si="20"/>
        <v>0</v>
      </c>
    </row>
    <row r="36" ht="15.75" customHeight="1">
      <c r="B36" s="35"/>
      <c r="M36" s="29" t="s">
        <v>32</v>
      </c>
      <c r="N36" s="30"/>
      <c r="O36" s="30"/>
      <c r="P36" s="31" t="s">
        <v>36</v>
      </c>
      <c r="R36" s="22" t="s">
        <v>38</v>
      </c>
      <c r="S36" s="23">
        <f t="shared" si="18"/>
        <v>0</v>
      </c>
      <c r="T36" s="24">
        <v>0.0</v>
      </c>
      <c r="U36" s="24">
        <v>0.0</v>
      </c>
      <c r="V36" s="24">
        <v>0.0</v>
      </c>
      <c r="W36" s="24">
        <v>0.0</v>
      </c>
      <c r="X36" s="24">
        <f t="shared" si="19"/>
        <v>0</v>
      </c>
      <c r="Y36" s="25">
        <f t="shared" si="20"/>
        <v>0</v>
      </c>
    </row>
    <row r="37" ht="15.75" customHeight="1">
      <c r="B37" s="35"/>
    </row>
    <row r="38" ht="15.75" customHeight="1">
      <c r="B38" s="35"/>
      <c r="M38" s="2" t="s">
        <v>12</v>
      </c>
      <c r="N38" s="3"/>
      <c r="O38" s="3"/>
      <c r="P38" s="4"/>
    </row>
    <row r="39" ht="15.75" customHeight="1">
      <c r="B39" s="36"/>
      <c r="M39" s="10" t="s">
        <v>18</v>
      </c>
      <c r="N39" s="11"/>
      <c r="O39" s="11"/>
      <c r="P39" s="12" t="s">
        <v>24</v>
      </c>
    </row>
    <row r="40" ht="15.75" customHeight="1">
      <c r="B40" s="35"/>
      <c r="M40" s="17" t="s">
        <v>28</v>
      </c>
      <c r="N40" s="18"/>
      <c r="O40" s="18"/>
      <c r="P40" s="19" t="s">
        <v>33</v>
      </c>
    </row>
    <row r="41" ht="15.75" customHeight="1">
      <c r="B41" s="35"/>
      <c r="M41" s="17" t="s">
        <v>18</v>
      </c>
      <c r="N41" s="18"/>
      <c r="O41" s="18"/>
      <c r="P41" s="19" t="s">
        <v>28</v>
      </c>
    </row>
    <row r="42" ht="15.75" customHeight="1">
      <c r="B42" s="35"/>
      <c r="M42" s="17" t="s">
        <v>24</v>
      </c>
      <c r="N42" s="18"/>
      <c r="O42" s="18"/>
      <c r="P42" s="19" t="s">
        <v>37</v>
      </c>
    </row>
    <row r="43" ht="15.75" customHeight="1">
      <c r="B43" s="35"/>
      <c r="M43" s="17" t="s">
        <v>18</v>
      </c>
      <c r="N43" s="18"/>
      <c r="O43" s="18"/>
      <c r="P43" s="19" t="s">
        <v>33</v>
      </c>
    </row>
    <row r="44" ht="15.75" customHeight="1">
      <c r="M44" s="17" t="s">
        <v>28</v>
      </c>
      <c r="N44" s="18"/>
      <c r="O44" s="18"/>
      <c r="P44" s="19" t="s">
        <v>37</v>
      </c>
    </row>
    <row r="45" ht="15.75" customHeight="1">
      <c r="B45" s="36"/>
      <c r="M45" s="17" t="s">
        <v>18</v>
      </c>
      <c r="N45" s="18"/>
      <c r="O45" s="18"/>
      <c r="P45" s="19" t="s">
        <v>37</v>
      </c>
    </row>
    <row r="46" ht="15.75" customHeight="1">
      <c r="B46" s="35"/>
      <c r="M46" s="17" t="s">
        <v>33</v>
      </c>
      <c r="N46" s="18"/>
      <c r="O46" s="18"/>
      <c r="P46" s="19" t="s">
        <v>24</v>
      </c>
    </row>
    <row r="47" ht="15.75" customHeight="1">
      <c r="B47" s="35"/>
      <c r="M47" s="17" t="s">
        <v>24</v>
      </c>
      <c r="N47" s="18"/>
      <c r="O47" s="18"/>
      <c r="P47" s="19" t="s">
        <v>28</v>
      </c>
    </row>
    <row r="48" ht="15.75" customHeight="1">
      <c r="B48" s="35"/>
      <c r="M48" s="29" t="s">
        <v>33</v>
      </c>
      <c r="N48" s="30"/>
      <c r="O48" s="30"/>
      <c r="P48" s="31" t="s">
        <v>37</v>
      </c>
    </row>
    <row r="49" ht="15.75" customHeight="1">
      <c r="B49" s="35"/>
    </row>
    <row r="50" ht="15.75" customHeight="1">
      <c r="B50" s="35"/>
      <c r="M50" s="2" t="s">
        <v>13</v>
      </c>
      <c r="N50" s="3"/>
      <c r="O50" s="3"/>
      <c r="P50" s="4"/>
    </row>
    <row r="51" ht="15.75" customHeight="1">
      <c r="B51" s="35"/>
      <c r="M51" s="10" t="s">
        <v>19</v>
      </c>
      <c r="N51" s="11"/>
      <c r="O51" s="11"/>
      <c r="P51" s="12" t="s">
        <v>25</v>
      </c>
    </row>
    <row r="52" ht="15.75" customHeight="1">
      <c r="B52" s="35"/>
      <c r="M52" s="17" t="s">
        <v>29</v>
      </c>
      <c r="N52" s="18"/>
      <c r="O52" s="18"/>
      <c r="P52" s="19" t="s">
        <v>34</v>
      </c>
    </row>
    <row r="53" ht="15.75" customHeight="1">
      <c r="M53" s="17" t="s">
        <v>19</v>
      </c>
      <c r="N53" s="18"/>
      <c r="O53" s="18"/>
      <c r="P53" s="19" t="s">
        <v>29</v>
      </c>
    </row>
    <row r="54" ht="15.75" customHeight="1">
      <c r="B54" s="36"/>
      <c r="M54" s="17" t="s">
        <v>25</v>
      </c>
      <c r="N54" s="18"/>
      <c r="O54" s="18"/>
      <c r="P54" s="19" t="s">
        <v>38</v>
      </c>
    </row>
    <row r="55" ht="15.75" customHeight="1">
      <c r="B55" s="35"/>
      <c r="M55" s="17" t="s">
        <v>19</v>
      </c>
      <c r="N55" s="18"/>
      <c r="O55" s="18"/>
      <c r="P55" s="19" t="s">
        <v>34</v>
      </c>
    </row>
    <row r="56" ht="15.75" customHeight="1">
      <c r="B56" s="35"/>
      <c r="M56" s="17" t="s">
        <v>29</v>
      </c>
      <c r="N56" s="18"/>
      <c r="O56" s="18"/>
      <c r="P56" s="19" t="s">
        <v>38</v>
      </c>
    </row>
    <row r="57" ht="15.75" customHeight="1">
      <c r="B57" s="35"/>
      <c r="M57" s="17" t="s">
        <v>19</v>
      </c>
      <c r="N57" s="18"/>
      <c r="O57" s="18"/>
      <c r="P57" s="19" t="s">
        <v>38</v>
      </c>
    </row>
    <row r="58" ht="15.75" customHeight="1">
      <c r="B58" s="35"/>
      <c r="M58" s="17" t="s">
        <v>34</v>
      </c>
      <c r="N58" s="18"/>
      <c r="O58" s="18"/>
      <c r="P58" s="19" t="s">
        <v>25</v>
      </c>
    </row>
    <row r="59" ht="15.75" customHeight="1">
      <c r="M59" s="17" t="s">
        <v>25</v>
      </c>
      <c r="N59" s="18"/>
      <c r="O59" s="18"/>
      <c r="P59" s="19" t="s">
        <v>29</v>
      </c>
    </row>
    <row r="60" ht="15.75" customHeight="1">
      <c r="M60" s="29" t="s">
        <v>34</v>
      </c>
      <c r="N60" s="30"/>
      <c r="O60" s="30"/>
      <c r="P60" s="31" t="s">
        <v>38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K2"/>
    <mergeCell ref="M2:P2"/>
    <mergeCell ref="M14:P14"/>
    <mergeCell ref="M26:P26"/>
    <mergeCell ref="M38:P38"/>
    <mergeCell ref="M50:P50"/>
  </mergeCells>
  <printOptions/>
  <pageMargins bottom="0.75" footer="0.0" header="0.0" left="0.7" right="0.7" top="0.75"/>
  <pageSetup orientation="landscape"/>
  <drawing r:id="rId1"/>
</worksheet>
</file>